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ik\Documents\Tingeso20205-1\PEP2 y 3\Pruebas\Encuesta Calidad APP Web RentKart.csv\"/>
    </mc:Choice>
  </mc:AlternateContent>
  <xr:revisionPtr revIDLastSave="0" documentId="13_ncr:9_{133E96CD-2ED9-4FB0-872F-208396DB572F}" xr6:coauthVersionLast="47" xr6:coauthVersionMax="47" xr10:uidLastSave="{00000000-0000-0000-0000-000000000000}"/>
  <bookViews>
    <workbookView xWindow="-120" yWindow="-120" windowWidth="29040" windowHeight="15720" xr2:uid="{38F20252-B332-43F9-835A-03519774E466}"/>
  </bookViews>
  <sheets>
    <sheet name="Encuesta Calidad APP Web Re (2)" sheetId="2" r:id="rId1"/>
    <sheet name="Encuesta Calidad APP Web RentKa" sheetId="1" r:id="rId2"/>
  </sheets>
  <definedNames>
    <definedName name="DatosExternos_1" localSheetId="0" hidden="1">'Encuesta Calidad APP Web Re (2)'!$A$1:$G$25</definedName>
  </definedNames>
  <calcPr calcId="0"/>
</workbook>
</file>

<file path=xl/calcChain.xml><?xml version="1.0" encoding="utf-8"?>
<calcChain xmlns="http://schemas.openxmlformats.org/spreadsheetml/2006/main">
  <c r="C24" i="2" l="1"/>
  <c r="D23" i="2"/>
  <c r="E23" i="2"/>
  <c r="F23" i="2"/>
  <c r="G23" i="2"/>
  <c r="C23" i="2"/>
  <c r="D22" i="2"/>
  <c r="E22" i="2"/>
  <c r="F22" i="2"/>
  <c r="G22" i="2"/>
  <c r="C22" i="2"/>
  <c r="D21" i="2"/>
  <c r="E21" i="2"/>
  <c r="F21" i="2"/>
  <c r="G21" i="2"/>
  <c r="C21" i="2"/>
  <c r="D19" i="2"/>
  <c r="E19" i="2"/>
  <c r="F19" i="2"/>
  <c r="G19" i="2"/>
  <c r="C19" i="2"/>
  <c r="D17" i="2"/>
  <c r="E17" i="2"/>
  <c r="F17" i="2"/>
  <c r="G17" i="2"/>
  <c r="C17" i="2"/>
  <c r="D15" i="2"/>
  <c r="E15" i="2"/>
  <c r="F15" i="2"/>
  <c r="G15" i="2"/>
  <c r="C15" i="2"/>
  <c r="D13" i="2"/>
  <c r="E13" i="2"/>
  <c r="F13" i="2"/>
  <c r="G13" i="2"/>
  <c r="C13" i="2"/>
  <c r="D20" i="2"/>
  <c r="E20" i="2"/>
  <c r="F20" i="2"/>
  <c r="G20" i="2"/>
  <c r="D18" i="2"/>
  <c r="E18" i="2"/>
  <c r="F18" i="2"/>
  <c r="G18" i="2"/>
  <c r="D16" i="2"/>
  <c r="E16" i="2"/>
  <c r="F16" i="2"/>
  <c r="G16" i="2"/>
  <c r="C20" i="2"/>
  <c r="C18" i="2"/>
  <c r="C16" i="2"/>
  <c r="D14" i="2"/>
  <c r="E14" i="2"/>
  <c r="F14" i="2"/>
  <c r="G14" i="2"/>
  <c r="C14" i="2"/>
  <c r="D12" i="2"/>
  <c r="E12" i="2"/>
  <c r="F12" i="2"/>
  <c r="G12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FA30CA-64A8-4335-8D1D-159303FE1E3D}" keepAlive="1" name="Consulta - Encuesta Calidad APP Web RentKart" description="Conexión a la consulta 'Encuesta Calidad APP Web RentKart' en el libro." type="5" refreshedVersion="8" background="1" saveData="1">
    <dbPr connection="Provider=Microsoft.Mashup.OleDb.1;Data Source=$Workbook$;Location=&quot;Encuesta Calidad APP Web RentKart&quot;;Extended Properties=&quot;&quot;" command="SELECT * FROM [Encuesta Calidad APP Web RentKart]"/>
  </connection>
</connections>
</file>

<file path=xl/sharedStrings.xml><?xml version="1.0" encoding="utf-8"?>
<sst xmlns="http://schemas.openxmlformats.org/spreadsheetml/2006/main" count="41" uniqueCount="41">
  <si>
    <t>Marca temporal,"Ingrese su nombre","Creo que me gustarÃ­a usar frecuentemente la funciÃ³n de registrar reservas.","EncontrÃ© que registrar las reservas es innecesariamente complicado","Creo que registrar reservas fue fÃ¡cil de usar. ","Creo que necesitarÃ­a la ayuda de una persona con conocimientos tÃ©cnicos para poder registrar una reserva.","EncontrÃ© que las distintas funciones para registrar reservas estÃ¡n bien integradas. ","PensÃ© que habÃ­a demasiada inconsistencia al registrar una reserva.","Imagino que la mayorÃ­a de las personas aprenderÃ­an a registrar una reserva rÃ¡pidamente. ","EncontrÃ© que registrar una reserva fue muy engorroso. ","Me sentÃ­ muy seguro al registrar una reserva. ","NecesitÃ© aprender muchas cosas antes de poder registrar una reserva. "</t>
  </si>
  <si>
    <t>2025/07/07 11:20:16 p.Â m. GMT-4,"Denisse","5","1","5","4","4","1","5","1","5","1"</t>
  </si>
  <si>
    <t>2025/07/07 11:26:51 p.Â m. GMT-4,"Monica Soza Espinoza","5","1","5","1","2","1","5","1","5","1"</t>
  </si>
  <si>
    <t>2025/07/09 11:36:26 p.Â m. GMT-4,"roberto","5","1","5","1","5","1","5","1","5","1"</t>
  </si>
  <si>
    <t>2025/07/09 11:53:40 p.Â m. GMT-4,"Juan","4","1","5","2","5","1","5","1","5","1"</t>
  </si>
  <si>
    <t>2025/07/09 11:54:27 p.Â m. GMT-4,"Sofia soto","5","1","5","1","5","1","5","1","5","1"</t>
  </si>
  <si>
    <t>Marca temporal</t>
  </si>
  <si>
    <t>Creo que me gustaría usar frecuentemente la función de registrar reservas.</t>
  </si>
  <si>
    <t>Encontré que registrar las reservas es innecesariamente complicado</t>
  </si>
  <si>
    <t xml:space="preserve">Creo que registrar reservas fue fácil de usar. </t>
  </si>
  <si>
    <t>Creo que necesitaría la ayuda de una persona con conocimientos técnicos para poder registrar una reserva.</t>
  </si>
  <si>
    <t xml:space="preserve">Encontré que las distintas funciones para registrar reservas están bien integradas. </t>
  </si>
  <si>
    <t>Pensé que había demasiada inconsistencia al registrar una reserva.</t>
  </si>
  <si>
    <t xml:space="preserve">Imagino que la mayoría de las personas aprenderían a registrar una reserva rápidamente. </t>
  </si>
  <si>
    <t xml:space="preserve">Encontré que registrar una reserva fue muy engorroso. </t>
  </si>
  <si>
    <t xml:space="preserve">Me sentí muy seguro al registrar una reserva. </t>
  </si>
  <si>
    <t xml:space="preserve">Necesité aprender muchas cosas antes de poder registrar una reserva. </t>
  </si>
  <si>
    <t>Denisse</t>
  </si>
  <si>
    <t>Monica Soza Espinoza</t>
  </si>
  <si>
    <t>roberto</t>
  </si>
  <si>
    <t>Juan</t>
  </si>
  <si>
    <t>Sofia soto</t>
  </si>
  <si>
    <t>Puntaje Total</t>
  </si>
  <si>
    <t>SUS</t>
  </si>
  <si>
    <t>Pregunta</t>
  </si>
  <si>
    <t>Puntaje 1</t>
  </si>
  <si>
    <t>Puntaje 2</t>
  </si>
  <si>
    <t>Puntaje 3</t>
  </si>
  <si>
    <t>Puntaje 4</t>
  </si>
  <si>
    <t>Puntaje 5</t>
  </si>
  <si>
    <t>Puntaje 6</t>
  </si>
  <si>
    <t>Puntaje 7</t>
  </si>
  <si>
    <t>Puntaje 8</t>
  </si>
  <si>
    <t>Puntaje 9</t>
  </si>
  <si>
    <t>Puntaje 10</t>
  </si>
  <si>
    <t>2025/07/07 11:20:16 p. m. GMT-4 Denisse</t>
  </si>
  <si>
    <t>2025/07/07 11:26:51 p. m. GMT-4 Monica Soza Espinoza</t>
  </si>
  <si>
    <t>2025/07/08 11:36:26 p. m. GMT-4 roberto</t>
  </si>
  <si>
    <t>2025/07/09 10:53:40 p. m. GMT-4 Juan</t>
  </si>
  <si>
    <t>2025/07/09 11:54:27 p. m. GMT-4 Sofia soto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</si>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</sst>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33" borderId="10" xfId="0" applyFont="1" applyFill="1" applyBorder="1"/>
    <xf numFmtId="0" fontId="0" fillId="33" borderId="10" xfId="0" applyNumberFormat="1" applyFont="1" applyFill="1" applyBorder="1"/>
    <xf numFmtId="0" fontId="0" fillId="0" borderId="0" xfId="0" applyNumberFormat="1" applyBorder="1"/>
    <xf numFmtId="0" fontId="0" fillId="33" borderId="11" xfId="0" applyNumberFormat="1" applyFont="1" applyFill="1" applyBorder="1"/>
    <xf numFmtId="0" fontId="0" fillId="33" borderId="11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2AA90E-965C-40C0-B0E2-7CAEF439B040}" autoFormatId="16" applyNumberFormats="0" applyBorderFormats="0" applyFontFormats="0" applyPatternFormats="0" applyAlignmentFormats="0" applyWidthHeightFormats="0">
  <queryTableRefresh nextId="13">
    <queryTableFields count="7">
      <queryTableField id="1" name="Marca temporal" tableColumnId="1"/>
      <queryTableField id="2" name="Ingrese su nombre" tableColumnId="2"/>
      <queryTableField id="3" name="Creo que me gustaría usar frecuentemente la función de registrar reservas." tableColumnId="3"/>
      <queryTableField id="4" name="Encontré que registrar las reservas es innecesariamente complicado" tableColumnId="4"/>
      <queryTableField id="5" name="Creo que registrar reservas fue fácil de usar. " tableColumnId="5"/>
      <queryTableField id="6" name="Creo que necesitaría la ayuda de una persona con conocimientos técnicos para poder registrar una reserva." tableColumnId="6"/>
      <queryTableField id="7" name="Encontré que las distintas funciones para registrar reservas están bien integradas. " tableColumnId="7"/>
    </queryTableFields>
    <queryTableDeletedFields count="5">
      <deletedField name="Pensé que había demasiada inconsistencia al registrar una reserva."/>
      <deletedField name="Imagino que la mayoría de las personas aprenderían a registrar una reserva rápidamente. "/>
      <deletedField name="Encontré que registrar una reserva fue muy engorroso. "/>
      <deletedField name="Me sentí muy seguro al registrar una reserva. "/>
      <deletedField name="Necesité aprender muchas cosas antes de poder registrar una reserva.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FC8C4-83EE-475F-A888-F760526CFF62}" name="Encuesta_Calidad_APP_Web_RentKart" displayName="Encuesta_Calidad_APP_Web_RentKart" ref="A1:G25" tableType="queryTable" totalsRowShown="0">
  <autoFilter ref="A1:G25" xr:uid="{0D7FC8C4-83EE-475F-A888-F760526CFF62}"/>
  <tableColumns count="7">
    <tableColumn id="1" xr3:uid="{130EB8A0-0B53-4603-A3D0-4E9C03FD7DBC}" uniqueName="1" name="Marca temporal" queryTableFieldId="1" dataDxfId="1"/>
    <tableColumn id="2" xr3:uid="{D21C971E-BA58-402C-B65A-EBAA1772F93F}" uniqueName="2" name="Pregunta" queryTableFieldId="2" dataDxfId="0"/>
    <tableColumn id="3" xr3:uid="{CB312EDE-ADCC-4688-A9E7-056E1559B145}" uniqueName="3" name="Denisse" queryTableFieldId="3"/>
    <tableColumn id="4" xr3:uid="{8843DBB3-B236-47EB-89D2-5E0A2FBEB233}" uniqueName="4" name="Monica Soza Espinoza" queryTableFieldId="4"/>
    <tableColumn id="5" xr3:uid="{238B229E-F32C-46E0-B938-6587008EA3A6}" uniqueName="5" name="roberto" queryTableFieldId="5"/>
    <tableColumn id="6" xr3:uid="{C24D2CB8-A2E5-4E89-B5EF-496E1AF8652A}" uniqueName="6" name="Juan" queryTableFieldId="6"/>
    <tableColumn id="7" xr3:uid="{58FBFF89-9E03-487F-8105-760A26D198EF}" uniqueName="7" name="Sofia soto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D3E8-E144-47EC-A79B-4208276053AC}">
  <dimension ref="A1:G25"/>
  <sheetViews>
    <sheetView tabSelected="1" workbookViewId="0">
      <selection activeCell="B24" sqref="B24"/>
    </sheetView>
  </sheetViews>
  <sheetFormatPr baseColWidth="10" defaultRowHeight="15" x14ac:dyDescent="0.25"/>
  <cols>
    <col min="1" max="1" width="49.28515625" customWidth="1"/>
    <col min="2" max="2" width="99.5703125" customWidth="1"/>
    <col min="3" max="3" width="10.140625" customWidth="1"/>
    <col min="4" max="4" width="17.5703125" customWidth="1"/>
    <col min="5" max="5" width="15.7109375" customWidth="1"/>
    <col min="6" max="6" width="14.42578125" customWidth="1"/>
    <col min="7" max="7" width="17.140625" customWidth="1"/>
    <col min="8" max="8" width="14.42578125" customWidth="1"/>
    <col min="9" max="9" width="10.85546875" customWidth="1"/>
    <col min="10" max="10" width="13.42578125" customWidth="1"/>
    <col min="11" max="11" width="7.42578125" customWidth="1"/>
    <col min="12" max="12" width="13.85546875" customWidth="1"/>
  </cols>
  <sheetData>
    <row r="1" spans="1:7" x14ac:dyDescent="0.25">
      <c r="A1" t="s">
        <v>6</v>
      </c>
      <c r="B1" t="s">
        <v>24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 t="s">
        <v>35</v>
      </c>
      <c r="B2" t="s">
        <v>7</v>
      </c>
      <c r="C2">
        <v>5</v>
      </c>
      <c r="D2">
        <v>5</v>
      </c>
      <c r="E2">
        <v>5</v>
      </c>
      <c r="F2">
        <v>4</v>
      </c>
      <c r="G2">
        <v>5</v>
      </c>
    </row>
    <row r="3" spans="1:7" x14ac:dyDescent="0.25">
      <c r="A3" s="1" t="s">
        <v>36</v>
      </c>
      <c r="B3" t="s">
        <v>8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25">
      <c r="A4" s="1" t="s">
        <v>37</v>
      </c>
      <c r="B4" t="s">
        <v>9</v>
      </c>
      <c r="C4">
        <v>5</v>
      </c>
      <c r="D4">
        <v>5</v>
      </c>
      <c r="E4">
        <v>5</v>
      </c>
      <c r="F4">
        <v>5</v>
      </c>
      <c r="G4">
        <v>5</v>
      </c>
    </row>
    <row r="5" spans="1:7" x14ac:dyDescent="0.25">
      <c r="A5" s="1" t="s">
        <v>38</v>
      </c>
      <c r="B5" t="s">
        <v>10</v>
      </c>
      <c r="C5">
        <v>4</v>
      </c>
      <c r="D5">
        <v>1</v>
      </c>
      <c r="E5">
        <v>1</v>
      </c>
      <c r="F5">
        <v>2</v>
      </c>
      <c r="G5">
        <v>1</v>
      </c>
    </row>
    <row r="6" spans="1:7" x14ac:dyDescent="0.25">
      <c r="A6" s="1" t="s">
        <v>39</v>
      </c>
      <c r="B6" s="1" t="s">
        <v>11</v>
      </c>
      <c r="C6">
        <v>4</v>
      </c>
      <c r="D6">
        <v>2</v>
      </c>
      <c r="E6">
        <v>5</v>
      </c>
      <c r="F6">
        <v>5</v>
      </c>
      <c r="G6">
        <v>5</v>
      </c>
    </row>
    <row r="7" spans="1:7" x14ac:dyDescent="0.25">
      <c r="A7" s="1"/>
      <c r="B7" s="1" t="s">
        <v>12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25">
      <c r="A8" s="1"/>
      <c r="B8" s="1" t="s">
        <v>13</v>
      </c>
      <c r="C8">
        <v>5</v>
      </c>
      <c r="D8">
        <v>5</v>
      </c>
      <c r="E8">
        <v>5</v>
      </c>
      <c r="F8">
        <v>5</v>
      </c>
      <c r="G8">
        <v>5</v>
      </c>
    </row>
    <row r="9" spans="1:7" x14ac:dyDescent="0.25">
      <c r="A9" s="1"/>
      <c r="B9" s="1" t="s">
        <v>14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25">
      <c r="A10" s="1"/>
      <c r="B10" s="1" t="s">
        <v>15</v>
      </c>
      <c r="C10">
        <v>5</v>
      </c>
      <c r="D10">
        <v>5</v>
      </c>
      <c r="E10">
        <v>5</v>
      </c>
      <c r="F10">
        <v>5</v>
      </c>
      <c r="G10">
        <v>5</v>
      </c>
    </row>
    <row r="11" spans="1:7" x14ac:dyDescent="0.25">
      <c r="A11" s="1"/>
      <c r="B11" s="1" t="s">
        <v>16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 x14ac:dyDescent="0.25">
      <c r="A12" s="1"/>
      <c r="B12" t="s">
        <v>25</v>
      </c>
      <c r="C12">
        <f>C2-1</f>
        <v>4</v>
      </c>
      <c r="D12">
        <f t="shared" ref="D12:G12" si="0">D2-1</f>
        <v>4</v>
      </c>
      <c r="E12">
        <f t="shared" si="0"/>
        <v>4</v>
      </c>
      <c r="F12">
        <f t="shared" si="0"/>
        <v>3</v>
      </c>
      <c r="G12">
        <f t="shared" si="0"/>
        <v>4</v>
      </c>
    </row>
    <row r="13" spans="1:7" x14ac:dyDescent="0.25">
      <c r="A13" s="1"/>
      <c r="B13" t="s">
        <v>26</v>
      </c>
      <c r="C13">
        <f>5-C3</f>
        <v>4</v>
      </c>
      <c r="D13">
        <f t="shared" ref="D13:G13" si="1">5-D3</f>
        <v>4</v>
      </c>
      <c r="E13">
        <f t="shared" si="1"/>
        <v>4</v>
      </c>
      <c r="F13">
        <f t="shared" si="1"/>
        <v>4</v>
      </c>
      <c r="G13">
        <f t="shared" si="1"/>
        <v>4</v>
      </c>
    </row>
    <row r="14" spans="1:7" x14ac:dyDescent="0.25">
      <c r="A14" s="1"/>
      <c r="B14" t="s">
        <v>27</v>
      </c>
      <c r="C14">
        <f>C4-1</f>
        <v>4</v>
      </c>
      <c r="D14">
        <f t="shared" ref="D14:G14" si="2">D4-1</f>
        <v>4</v>
      </c>
      <c r="E14">
        <f t="shared" si="2"/>
        <v>4</v>
      </c>
      <c r="F14">
        <f t="shared" si="2"/>
        <v>4</v>
      </c>
      <c r="G14">
        <f t="shared" si="2"/>
        <v>4</v>
      </c>
    </row>
    <row r="15" spans="1:7" x14ac:dyDescent="0.25">
      <c r="A15" s="1"/>
      <c r="B15" t="s">
        <v>28</v>
      </c>
      <c r="C15">
        <f>5-C5</f>
        <v>1</v>
      </c>
      <c r="D15">
        <f t="shared" ref="D15:G15" si="3">5-D5</f>
        <v>4</v>
      </c>
      <c r="E15">
        <f t="shared" si="3"/>
        <v>4</v>
      </c>
      <c r="F15">
        <f t="shared" si="3"/>
        <v>3</v>
      </c>
      <c r="G15">
        <f t="shared" si="3"/>
        <v>4</v>
      </c>
    </row>
    <row r="16" spans="1:7" x14ac:dyDescent="0.25">
      <c r="A16" s="1"/>
      <c r="B16" t="s">
        <v>29</v>
      </c>
      <c r="C16">
        <f>C6-1</f>
        <v>3</v>
      </c>
      <c r="D16">
        <f t="shared" ref="D16:G16" si="4">D6-1</f>
        <v>1</v>
      </c>
      <c r="E16">
        <f t="shared" si="4"/>
        <v>4</v>
      </c>
      <c r="F16">
        <f t="shared" si="4"/>
        <v>4</v>
      </c>
      <c r="G16">
        <f t="shared" si="4"/>
        <v>4</v>
      </c>
    </row>
    <row r="17" spans="1:7" x14ac:dyDescent="0.25">
      <c r="A17" s="1"/>
      <c r="B17" t="s">
        <v>30</v>
      </c>
      <c r="C17">
        <f>5-C7</f>
        <v>4</v>
      </c>
      <c r="D17">
        <f t="shared" ref="D17:G17" si="5">5-D7</f>
        <v>4</v>
      </c>
      <c r="E17">
        <f t="shared" si="5"/>
        <v>4</v>
      </c>
      <c r="F17">
        <f t="shared" si="5"/>
        <v>4</v>
      </c>
      <c r="G17">
        <f t="shared" si="5"/>
        <v>4</v>
      </c>
    </row>
    <row r="18" spans="1:7" x14ac:dyDescent="0.25">
      <c r="A18" s="1"/>
      <c r="B18" t="s">
        <v>31</v>
      </c>
      <c r="C18">
        <f>C8-1</f>
        <v>4</v>
      </c>
      <c r="D18">
        <f t="shared" ref="D18:G18" si="6">D8-1</f>
        <v>4</v>
      </c>
      <c r="E18">
        <f t="shared" si="6"/>
        <v>4</v>
      </c>
      <c r="F18">
        <f t="shared" si="6"/>
        <v>4</v>
      </c>
      <c r="G18">
        <f t="shared" si="6"/>
        <v>4</v>
      </c>
    </row>
    <row r="19" spans="1:7" x14ac:dyDescent="0.25">
      <c r="A19" s="1"/>
      <c r="B19" t="s">
        <v>32</v>
      </c>
      <c r="C19">
        <f>5-C9</f>
        <v>4</v>
      </c>
      <c r="D19">
        <f t="shared" ref="D19:G19" si="7">5-D9</f>
        <v>4</v>
      </c>
      <c r="E19">
        <f t="shared" si="7"/>
        <v>4</v>
      </c>
      <c r="F19">
        <f t="shared" si="7"/>
        <v>4</v>
      </c>
      <c r="G19">
        <f t="shared" si="7"/>
        <v>4</v>
      </c>
    </row>
    <row r="20" spans="1:7" x14ac:dyDescent="0.25">
      <c r="A20" s="1"/>
      <c r="B20" t="s">
        <v>33</v>
      </c>
      <c r="C20">
        <f>C10-1</f>
        <v>4</v>
      </c>
      <c r="D20">
        <f t="shared" ref="D20:G20" si="8">D10-1</f>
        <v>4</v>
      </c>
      <c r="E20">
        <f t="shared" si="8"/>
        <v>4</v>
      </c>
      <c r="F20">
        <f t="shared" si="8"/>
        <v>4</v>
      </c>
      <c r="G20">
        <f t="shared" si="8"/>
        <v>4</v>
      </c>
    </row>
    <row r="21" spans="1:7" x14ac:dyDescent="0.25">
      <c r="A21" s="1"/>
      <c r="B21" t="s">
        <v>34</v>
      </c>
      <c r="C21">
        <f>5-C11</f>
        <v>4</v>
      </c>
      <c r="D21">
        <f t="shared" ref="D21:G21" si="9">5-D11</f>
        <v>4</v>
      </c>
      <c r="E21">
        <f t="shared" si="9"/>
        <v>4</v>
      </c>
      <c r="F21">
        <f t="shared" si="9"/>
        <v>4</v>
      </c>
      <c r="G21">
        <f t="shared" si="9"/>
        <v>4</v>
      </c>
    </row>
    <row r="22" spans="1:7" x14ac:dyDescent="0.25">
      <c r="A22" s="1"/>
      <c r="B22" s="3" t="s">
        <v>40</v>
      </c>
      <c r="C22" s="2">
        <f>SUM(C12:C21)</f>
        <v>36</v>
      </c>
      <c r="D22" s="2">
        <f t="shared" ref="D22:G22" si="10">SUM(D12:D21)</f>
        <v>37</v>
      </c>
      <c r="E22" s="2">
        <f t="shared" si="10"/>
        <v>40</v>
      </c>
      <c r="F22" s="2">
        <f t="shared" si="10"/>
        <v>38</v>
      </c>
      <c r="G22" s="2">
        <f t="shared" si="10"/>
        <v>40</v>
      </c>
    </row>
    <row r="23" spans="1:7" x14ac:dyDescent="0.25">
      <c r="A23" s="1"/>
      <c r="B23" s="3" t="s">
        <v>22</v>
      </c>
      <c r="C23" s="2">
        <f>C22*2.5</f>
        <v>90</v>
      </c>
      <c r="D23" s="2">
        <f t="shared" ref="D23:G23" si="11">D22*2.5</f>
        <v>92.5</v>
      </c>
      <c r="E23" s="2">
        <f t="shared" si="11"/>
        <v>100</v>
      </c>
      <c r="F23" s="2">
        <f t="shared" si="11"/>
        <v>95</v>
      </c>
      <c r="G23" s="2">
        <f t="shared" si="11"/>
        <v>100</v>
      </c>
    </row>
    <row r="24" spans="1:7" x14ac:dyDescent="0.25">
      <c r="A24" s="1"/>
      <c r="B24" s="5" t="s">
        <v>23</v>
      </c>
      <c r="C24" s="6">
        <f>AVERAGE(C23:G23)</f>
        <v>95.5</v>
      </c>
      <c r="D24" s="6"/>
      <c r="E24" s="6"/>
      <c r="F24" s="6"/>
      <c r="G24" s="6"/>
    </row>
    <row r="25" spans="1:7" x14ac:dyDescent="0.25">
      <c r="A25" s="4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81D4-1901-4700-AF81-CABC21C017A5}">
  <dimension ref="A1:A6"/>
  <sheetViews>
    <sheetView workbookViewId="0">
      <selection activeCell="A2" sqref="A2"/>
    </sheetView>
  </sheetViews>
  <sheetFormatPr baseColWidth="10" defaultRowHeight="15" x14ac:dyDescent="0.25"/>
  <cols>
    <col min="1" max="1" width="28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84843-856D-4226-9F04-C8AB841A4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Encuesta Calidad APP Web Re (2)</vt:lpstr>
      <vt:lpstr>Encuesta Calidad APP Web RentKa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Jesús Pinochet Soza</cp:lastModifiedBy>
  <dcterms:created xsi:type="dcterms:W3CDTF">2025-07-10T04:26:57Z</dcterms:created>
  <dcterms:modified xsi:type="dcterms:W3CDTF">2025-07-10T04:51:39Z</dcterms:modified>
</cp:coreProperties>
</file>